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s.teifel\bwSyncShare\Jupyter_files\RL_arcade\factory\"/>
    </mc:Choice>
  </mc:AlternateContent>
  <xr:revisionPtr revIDLastSave="0" documentId="13_ncr:1_{D3872830-21BC-47D2-926F-348BD844B36C}" xr6:coauthVersionLast="36" xr6:coauthVersionMax="36" xr10:uidLastSave="{00000000-0000-0000-0000-000000000000}"/>
  <bookViews>
    <workbookView xWindow="0" yWindow="0" windowWidth="23040" windowHeight="8364" firstSheet="1" activeTab="5" xr2:uid="{E005FD88-ABE7-48D3-BD55-171875E3D42A}"/>
  </bookViews>
  <sheets>
    <sheet name="Tabelle1" sheetId="1" r:id="rId1"/>
    <sheet name="Tabelle2" sheetId="2" r:id="rId2"/>
    <sheet name="Distanzmetrik" sheetId="3" r:id="rId3"/>
    <sheet name="Stationsnummer" sheetId="4" r:id="rId4"/>
    <sheet name="Auftragsspanne" sheetId="5" r:id="rId5"/>
    <sheet name="Stationsposition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5" l="1"/>
  <c r="A3" i="5"/>
  <c r="A4" i="5"/>
  <c r="A5" i="5"/>
  <c r="A6" i="5"/>
  <c r="A7" i="5"/>
  <c r="A8" i="5"/>
  <c r="A9" i="5"/>
  <c r="A10" i="5"/>
  <c r="A11" i="5"/>
  <c r="A12" i="5"/>
  <c r="A13" i="5"/>
  <c r="A1" i="5"/>
  <c r="B3" i="3" l="1"/>
  <c r="C3" i="3"/>
  <c r="D3" i="3"/>
  <c r="E3" i="3"/>
  <c r="F3" i="3"/>
  <c r="G3" i="3"/>
  <c r="H3" i="3"/>
  <c r="I3" i="3"/>
  <c r="J3" i="3"/>
  <c r="K3" i="3"/>
  <c r="L3" i="3"/>
  <c r="M3" i="3"/>
  <c r="N3" i="3"/>
  <c r="B4" i="3"/>
  <c r="C4" i="3"/>
  <c r="D4" i="3"/>
  <c r="E4" i="3"/>
  <c r="F4" i="3"/>
  <c r="G4" i="3"/>
  <c r="H4" i="3"/>
  <c r="I4" i="3"/>
  <c r="J4" i="3"/>
  <c r="K4" i="3"/>
  <c r="L4" i="3"/>
  <c r="M4" i="3"/>
  <c r="N4" i="3"/>
  <c r="B5" i="3"/>
  <c r="C5" i="3"/>
  <c r="D5" i="3"/>
  <c r="E5" i="3"/>
  <c r="F5" i="3"/>
  <c r="G5" i="3"/>
  <c r="H5" i="3"/>
  <c r="I5" i="3"/>
  <c r="J5" i="3"/>
  <c r="K5" i="3"/>
  <c r="L5" i="3"/>
  <c r="M5" i="3"/>
  <c r="N5" i="3"/>
  <c r="B6" i="3"/>
  <c r="C6" i="3"/>
  <c r="D6" i="3"/>
  <c r="E6" i="3"/>
  <c r="F6" i="3"/>
  <c r="G6" i="3"/>
  <c r="H6" i="3"/>
  <c r="I6" i="3"/>
  <c r="J6" i="3"/>
  <c r="K6" i="3"/>
  <c r="L6" i="3"/>
  <c r="M6" i="3"/>
  <c r="N6" i="3"/>
  <c r="B7" i="3"/>
  <c r="C7" i="3"/>
  <c r="D7" i="3"/>
  <c r="E7" i="3"/>
  <c r="F7" i="3"/>
  <c r="G7" i="3"/>
  <c r="H7" i="3"/>
  <c r="I7" i="3"/>
  <c r="J7" i="3"/>
  <c r="K7" i="3"/>
  <c r="L7" i="3"/>
  <c r="M7" i="3"/>
  <c r="N7" i="3"/>
  <c r="B8" i="3"/>
  <c r="C8" i="3"/>
  <c r="D8" i="3"/>
  <c r="E8" i="3"/>
  <c r="F8" i="3"/>
  <c r="G8" i="3"/>
  <c r="H8" i="3"/>
  <c r="I8" i="3"/>
  <c r="J8" i="3"/>
  <c r="K8" i="3"/>
  <c r="L8" i="3"/>
  <c r="M8" i="3"/>
  <c r="N8" i="3"/>
  <c r="B9" i="3"/>
  <c r="C9" i="3"/>
  <c r="D9" i="3"/>
  <c r="E9" i="3"/>
  <c r="F9" i="3"/>
  <c r="G9" i="3"/>
  <c r="H9" i="3"/>
  <c r="I9" i="3"/>
  <c r="J9" i="3"/>
  <c r="K9" i="3"/>
  <c r="L9" i="3"/>
  <c r="M9" i="3"/>
  <c r="N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C2" i="3"/>
  <c r="D2" i="3"/>
  <c r="E2" i="3"/>
  <c r="F2" i="3"/>
  <c r="G2" i="3"/>
  <c r="H2" i="3"/>
  <c r="I2" i="3"/>
  <c r="J2" i="3"/>
  <c r="K2" i="3"/>
  <c r="L2" i="3"/>
  <c r="M2" i="3"/>
  <c r="N2" i="3"/>
  <c r="B2" i="3"/>
</calcChain>
</file>

<file path=xl/sharedStrings.xml><?xml version="1.0" encoding="utf-8"?>
<sst xmlns="http://schemas.openxmlformats.org/spreadsheetml/2006/main" count="104" uniqueCount="14">
  <si>
    <t>LED</t>
  </si>
  <si>
    <t>Löt</t>
  </si>
  <si>
    <t>Batt</t>
  </si>
  <si>
    <t>Einleg</t>
  </si>
  <si>
    <t>Schraub</t>
  </si>
  <si>
    <t>Kleb</t>
  </si>
  <si>
    <t>Lack</t>
  </si>
  <si>
    <t>Aufd</t>
  </si>
  <si>
    <t>Halt bohr</t>
  </si>
  <si>
    <t>Halt mont</t>
  </si>
  <si>
    <t>Test</t>
  </si>
  <si>
    <t>Lager_A</t>
  </si>
  <si>
    <t>Lager_B</t>
  </si>
  <si>
    <t>Loet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</si>
</sst>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FDEE-9BB9-40D8-98D2-3C2C0380AC1F}">
  <dimension ref="A1:N14"/>
  <sheetViews>
    <sheetView workbookViewId="0">
      <selection sqref="A1:N14"/>
    </sheetView>
  </sheetViews>
  <sheetFormatPr baseColWidth="10" defaultRowHeight="14.4" x14ac:dyDescent="0.3"/>
  <cols>
    <col min="2" max="2" width="7.44140625" customWidth="1"/>
    <col min="3" max="3" width="8.21875" customWidth="1"/>
    <col min="4" max="4" width="8.109375" customWidth="1"/>
    <col min="5" max="5" width="7.6640625" customWidth="1"/>
    <col min="6" max="6" width="6.109375" customWidth="1"/>
    <col min="7" max="7" width="7.6640625" customWidth="1"/>
    <col min="8" max="8" width="7.109375" customWidth="1"/>
    <col min="9" max="9" width="5.6640625" customWidth="1"/>
    <col min="10" max="10" width="5.77734375" customWidth="1"/>
    <col min="11" max="11" width="6" customWidth="1"/>
    <col min="12" max="12" width="8.88671875" customWidth="1"/>
    <col min="13" max="13" width="8.77734375" customWidth="1"/>
    <col min="14" max="14" width="5.77734375" customWidth="1"/>
  </cols>
  <sheetData>
    <row r="1" spans="1:14" x14ac:dyDescent="0.3">
      <c r="B1" t="s">
        <v>11</v>
      </c>
      <c r="C1" t="s">
        <v>12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">
      <c r="A2" t="s">
        <v>11</v>
      </c>
      <c r="B2">
        <v>0</v>
      </c>
      <c r="C2">
        <v>5</v>
      </c>
      <c r="D2">
        <v>3</v>
      </c>
      <c r="E2">
        <v>1</v>
      </c>
      <c r="F2">
        <v>3</v>
      </c>
      <c r="G2">
        <v>5</v>
      </c>
      <c r="H2">
        <v>5</v>
      </c>
      <c r="I2">
        <v>7</v>
      </c>
      <c r="J2">
        <v>9</v>
      </c>
      <c r="K2">
        <v>13</v>
      </c>
      <c r="L2">
        <v>11</v>
      </c>
      <c r="M2">
        <v>11</v>
      </c>
      <c r="N2">
        <v>13</v>
      </c>
    </row>
    <row r="3" spans="1:14" x14ac:dyDescent="0.3">
      <c r="A3" t="s">
        <v>12</v>
      </c>
      <c r="C3">
        <v>0</v>
      </c>
      <c r="D3">
        <v>8</v>
      </c>
      <c r="E3">
        <v>6</v>
      </c>
      <c r="F3">
        <v>4</v>
      </c>
      <c r="G3">
        <v>4</v>
      </c>
      <c r="H3">
        <v>2</v>
      </c>
      <c r="I3">
        <v>0</v>
      </c>
      <c r="J3">
        <v>2</v>
      </c>
      <c r="K3">
        <v>6</v>
      </c>
      <c r="L3">
        <v>6</v>
      </c>
      <c r="M3">
        <v>6</v>
      </c>
      <c r="N3">
        <v>7</v>
      </c>
    </row>
    <row r="4" spans="1:14" x14ac:dyDescent="0.3">
      <c r="A4" t="s">
        <v>0</v>
      </c>
      <c r="D4">
        <v>0</v>
      </c>
      <c r="E4">
        <v>2</v>
      </c>
      <c r="F4">
        <v>4</v>
      </c>
      <c r="G4">
        <v>6</v>
      </c>
      <c r="H4">
        <v>6</v>
      </c>
      <c r="I4">
        <v>8</v>
      </c>
      <c r="J4">
        <v>10</v>
      </c>
      <c r="K4">
        <v>14</v>
      </c>
      <c r="L4">
        <v>12</v>
      </c>
      <c r="M4">
        <v>12</v>
      </c>
      <c r="N4">
        <v>14</v>
      </c>
    </row>
    <row r="5" spans="1:14" x14ac:dyDescent="0.3">
      <c r="A5" t="s">
        <v>1</v>
      </c>
      <c r="E5">
        <v>0</v>
      </c>
      <c r="F5">
        <v>2</v>
      </c>
      <c r="G5">
        <v>4</v>
      </c>
      <c r="H5">
        <v>4</v>
      </c>
      <c r="I5">
        <v>6</v>
      </c>
      <c r="J5">
        <v>8</v>
      </c>
      <c r="K5">
        <v>12</v>
      </c>
      <c r="L5">
        <v>10</v>
      </c>
      <c r="M5">
        <v>10</v>
      </c>
      <c r="N5">
        <v>12</v>
      </c>
    </row>
    <row r="6" spans="1:14" x14ac:dyDescent="0.3">
      <c r="A6" t="s">
        <v>2</v>
      </c>
      <c r="F6">
        <v>0</v>
      </c>
      <c r="G6">
        <v>2</v>
      </c>
      <c r="H6">
        <v>2</v>
      </c>
      <c r="I6">
        <v>4</v>
      </c>
      <c r="J6">
        <v>6</v>
      </c>
      <c r="K6">
        <v>10</v>
      </c>
      <c r="L6">
        <v>8</v>
      </c>
      <c r="M6">
        <v>8</v>
      </c>
      <c r="N6">
        <v>10</v>
      </c>
    </row>
    <row r="7" spans="1:14" x14ac:dyDescent="0.3">
      <c r="A7" t="s">
        <v>3</v>
      </c>
      <c r="G7">
        <v>0</v>
      </c>
      <c r="H7">
        <v>2</v>
      </c>
      <c r="I7">
        <v>4</v>
      </c>
      <c r="J7">
        <v>6</v>
      </c>
      <c r="K7">
        <v>10</v>
      </c>
      <c r="L7">
        <v>8</v>
      </c>
      <c r="M7">
        <v>8</v>
      </c>
      <c r="N7">
        <v>10</v>
      </c>
    </row>
    <row r="8" spans="1:14" x14ac:dyDescent="0.3">
      <c r="A8" t="s">
        <v>4</v>
      </c>
      <c r="H8">
        <v>0</v>
      </c>
      <c r="I8">
        <v>2</v>
      </c>
      <c r="J8">
        <v>4</v>
      </c>
      <c r="K8">
        <v>8</v>
      </c>
      <c r="L8">
        <v>6</v>
      </c>
      <c r="M8">
        <v>6</v>
      </c>
      <c r="N8">
        <v>8</v>
      </c>
    </row>
    <row r="9" spans="1:14" x14ac:dyDescent="0.3">
      <c r="A9" t="s">
        <v>5</v>
      </c>
      <c r="I9">
        <v>0</v>
      </c>
      <c r="J9">
        <v>2</v>
      </c>
      <c r="K9">
        <v>6</v>
      </c>
      <c r="L9">
        <v>6</v>
      </c>
      <c r="M9">
        <v>6</v>
      </c>
      <c r="N9">
        <v>7</v>
      </c>
    </row>
    <row r="10" spans="1:14" x14ac:dyDescent="0.3">
      <c r="A10" t="s">
        <v>6</v>
      </c>
      <c r="J10">
        <v>0</v>
      </c>
      <c r="K10">
        <v>4</v>
      </c>
      <c r="L10">
        <v>8</v>
      </c>
      <c r="M10">
        <v>8</v>
      </c>
      <c r="N10">
        <v>10</v>
      </c>
    </row>
    <row r="11" spans="1:14" x14ac:dyDescent="0.3">
      <c r="A11" t="s">
        <v>7</v>
      </c>
      <c r="K11">
        <v>0</v>
      </c>
      <c r="L11">
        <v>4</v>
      </c>
      <c r="M11">
        <v>6</v>
      </c>
      <c r="N11">
        <v>8</v>
      </c>
    </row>
    <row r="12" spans="1:14" x14ac:dyDescent="0.3">
      <c r="A12" t="s">
        <v>8</v>
      </c>
      <c r="L12">
        <v>0</v>
      </c>
      <c r="M12">
        <v>2</v>
      </c>
      <c r="N12">
        <v>4</v>
      </c>
    </row>
    <row r="13" spans="1:14" x14ac:dyDescent="0.3">
      <c r="A13" t="s">
        <v>9</v>
      </c>
      <c r="M13">
        <v>0</v>
      </c>
      <c r="N13">
        <v>2</v>
      </c>
    </row>
    <row r="14" spans="1:14" x14ac:dyDescent="0.3">
      <c r="A14" t="s">
        <v>10</v>
      </c>
      <c r="N14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AFB9-5554-4C37-A54F-E769EEF404CC}">
  <dimension ref="A1:N28"/>
  <sheetViews>
    <sheetView workbookViewId="0">
      <selection sqref="A1:N14"/>
    </sheetView>
  </sheetViews>
  <sheetFormatPr baseColWidth="10" defaultRowHeight="14.4" x14ac:dyDescent="0.3"/>
  <sheetData>
    <row r="1" spans="1:14" x14ac:dyDescent="0.3">
      <c r="B1" t="s">
        <v>11</v>
      </c>
      <c r="C1" t="s">
        <v>12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">
      <c r="A2" t="s">
        <v>11</v>
      </c>
      <c r="B2">
        <v>0</v>
      </c>
      <c r="C2">
        <v>5</v>
      </c>
      <c r="D2">
        <v>3</v>
      </c>
      <c r="E2">
        <v>1</v>
      </c>
      <c r="F2">
        <v>3</v>
      </c>
      <c r="G2">
        <v>5</v>
      </c>
      <c r="H2">
        <v>5</v>
      </c>
      <c r="I2">
        <v>7</v>
      </c>
      <c r="J2">
        <v>9</v>
      </c>
      <c r="K2">
        <v>13</v>
      </c>
      <c r="L2">
        <v>11</v>
      </c>
      <c r="M2">
        <v>11</v>
      </c>
      <c r="N2">
        <v>13</v>
      </c>
    </row>
    <row r="3" spans="1:14" x14ac:dyDescent="0.3">
      <c r="A3" t="s">
        <v>12</v>
      </c>
      <c r="C3">
        <v>0</v>
      </c>
      <c r="D3">
        <v>8</v>
      </c>
      <c r="E3">
        <v>6</v>
      </c>
      <c r="F3">
        <v>4</v>
      </c>
      <c r="G3">
        <v>4</v>
      </c>
      <c r="H3">
        <v>2</v>
      </c>
      <c r="I3">
        <v>0</v>
      </c>
      <c r="J3">
        <v>2</v>
      </c>
      <c r="K3">
        <v>6</v>
      </c>
      <c r="L3">
        <v>6</v>
      </c>
      <c r="M3">
        <v>6</v>
      </c>
      <c r="N3">
        <v>7</v>
      </c>
    </row>
    <row r="4" spans="1:14" x14ac:dyDescent="0.3">
      <c r="A4" t="s">
        <v>0</v>
      </c>
      <c r="D4">
        <v>0</v>
      </c>
      <c r="E4">
        <v>2</v>
      </c>
      <c r="F4">
        <v>4</v>
      </c>
      <c r="G4">
        <v>6</v>
      </c>
      <c r="H4">
        <v>6</v>
      </c>
      <c r="I4">
        <v>8</v>
      </c>
      <c r="J4">
        <v>10</v>
      </c>
      <c r="K4">
        <v>14</v>
      </c>
      <c r="L4">
        <v>12</v>
      </c>
      <c r="M4">
        <v>12</v>
      </c>
      <c r="N4">
        <v>14</v>
      </c>
    </row>
    <row r="5" spans="1:14" x14ac:dyDescent="0.3">
      <c r="A5" t="s">
        <v>1</v>
      </c>
      <c r="E5">
        <v>0</v>
      </c>
      <c r="F5">
        <v>2</v>
      </c>
      <c r="G5">
        <v>4</v>
      </c>
      <c r="H5">
        <v>4</v>
      </c>
      <c r="I5">
        <v>6</v>
      </c>
      <c r="J5">
        <v>8</v>
      </c>
      <c r="K5">
        <v>12</v>
      </c>
      <c r="L5">
        <v>10</v>
      </c>
      <c r="M5">
        <v>10</v>
      </c>
      <c r="N5">
        <v>12</v>
      </c>
    </row>
    <row r="6" spans="1:14" x14ac:dyDescent="0.3">
      <c r="A6" t="s">
        <v>2</v>
      </c>
      <c r="F6">
        <v>0</v>
      </c>
      <c r="G6">
        <v>2</v>
      </c>
      <c r="H6">
        <v>2</v>
      </c>
      <c r="I6">
        <v>4</v>
      </c>
      <c r="J6">
        <v>6</v>
      </c>
      <c r="K6">
        <v>10</v>
      </c>
      <c r="L6">
        <v>8</v>
      </c>
      <c r="M6">
        <v>8</v>
      </c>
      <c r="N6">
        <v>10</v>
      </c>
    </row>
    <row r="7" spans="1:14" x14ac:dyDescent="0.3">
      <c r="A7" t="s">
        <v>3</v>
      </c>
      <c r="G7">
        <v>0</v>
      </c>
      <c r="H7">
        <v>2</v>
      </c>
      <c r="I7">
        <v>4</v>
      </c>
      <c r="J7">
        <v>6</v>
      </c>
      <c r="K7">
        <v>10</v>
      </c>
      <c r="L7">
        <v>8</v>
      </c>
      <c r="M7">
        <v>8</v>
      </c>
      <c r="N7">
        <v>10</v>
      </c>
    </row>
    <row r="8" spans="1:14" x14ac:dyDescent="0.3">
      <c r="A8" t="s">
        <v>4</v>
      </c>
      <c r="H8">
        <v>0</v>
      </c>
      <c r="I8">
        <v>2</v>
      </c>
      <c r="J8">
        <v>4</v>
      </c>
      <c r="K8">
        <v>8</v>
      </c>
      <c r="L8">
        <v>6</v>
      </c>
      <c r="M8">
        <v>6</v>
      </c>
      <c r="N8">
        <v>8</v>
      </c>
    </row>
    <row r="9" spans="1:14" x14ac:dyDescent="0.3">
      <c r="A9" t="s">
        <v>5</v>
      </c>
      <c r="I9">
        <v>0</v>
      </c>
      <c r="J9">
        <v>2</v>
      </c>
      <c r="K9">
        <v>6</v>
      </c>
      <c r="L9">
        <v>6</v>
      </c>
      <c r="M9">
        <v>6</v>
      </c>
      <c r="N9">
        <v>7</v>
      </c>
    </row>
    <row r="10" spans="1:14" x14ac:dyDescent="0.3">
      <c r="A10" t="s">
        <v>6</v>
      </c>
      <c r="J10">
        <v>0</v>
      </c>
      <c r="K10">
        <v>4</v>
      </c>
      <c r="L10">
        <v>8</v>
      </c>
      <c r="M10">
        <v>8</v>
      </c>
      <c r="N10">
        <v>10</v>
      </c>
    </row>
    <row r="11" spans="1:14" x14ac:dyDescent="0.3">
      <c r="A11" t="s">
        <v>7</v>
      </c>
      <c r="K11">
        <v>0</v>
      </c>
      <c r="L11">
        <v>4</v>
      </c>
      <c r="M11">
        <v>6</v>
      </c>
      <c r="N11">
        <v>8</v>
      </c>
    </row>
    <row r="12" spans="1:14" x14ac:dyDescent="0.3">
      <c r="A12" t="s">
        <v>8</v>
      </c>
      <c r="L12">
        <v>0</v>
      </c>
      <c r="M12">
        <v>2</v>
      </c>
      <c r="N12">
        <v>4</v>
      </c>
    </row>
    <row r="13" spans="1:14" x14ac:dyDescent="0.3">
      <c r="A13" t="s">
        <v>9</v>
      </c>
      <c r="M13">
        <v>0</v>
      </c>
      <c r="N13">
        <v>2</v>
      </c>
    </row>
    <row r="14" spans="1:14" x14ac:dyDescent="0.3">
      <c r="A14" t="s">
        <v>10</v>
      </c>
      <c r="N14">
        <v>0</v>
      </c>
    </row>
    <row r="16" spans="1:14" x14ac:dyDescent="0.3">
      <c r="A16" t="s">
        <v>11</v>
      </c>
    </row>
    <row r="17" spans="1:13" x14ac:dyDescent="0.3">
      <c r="A17" t="s">
        <v>12</v>
      </c>
      <c r="B17">
        <v>5</v>
      </c>
    </row>
    <row r="18" spans="1:13" x14ac:dyDescent="0.3">
      <c r="A18" t="s">
        <v>0</v>
      </c>
      <c r="B18">
        <v>3</v>
      </c>
      <c r="C18">
        <v>8</v>
      </c>
    </row>
    <row r="19" spans="1:13" x14ac:dyDescent="0.3">
      <c r="A19" t="s">
        <v>1</v>
      </c>
      <c r="B19">
        <v>1</v>
      </c>
      <c r="C19">
        <v>6</v>
      </c>
      <c r="D19">
        <v>2</v>
      </c>
    </row>
    <row r="20" spans="1:13" x14ac:dyDescent="0.3">
      <c r="A20" t="s">
        <v>2</v>
      </c>
      <c r="B20">
        <v>3</v>
      </c>
      <c r="C20">
        <v>4</v>
      </c>
      <c r="D20">
        <v>4</v>
      </c>
      <c r="E20">
        <v>2</v>
      </c>
    </row>
    <row r="21" spans="1:13" x14ac:dyDescent="0.3">
      <c r="A21" t="s">
        <v>3</v>
      </c>
      <c r="B21">
        <v>5</v>
      </c>
      <c r="C21">
        <v>4</v>
      </c>
      <c r="D21">
        <v>6</v>
      </c>
      <c r="E21">
        <v>4</v>
      </c>
      <c r="F21">
        <v>2</v>
      </c>
    </row>
    <row r="22" spans="1:13" x14ac:dyDescent="0.3">
      <c r="A22" t="s">
        <v>4</v>
      </c>
      <c r="B22">
        <v>5</v>
      </c>
      <c r="C22">
        <v>2</v>
      </c>
      <c r="D22">
        <v>6</v>
      </c>
      <c r="E22">
        <v>4</v>
      </c>
      <c r="F22">
        <v>2</v>
      </c>
      <c r="G22">
        <v>2</v>
      </c>
    </row>
    <row r="23" spans="1:13" x14ac:dyDescent="0.3">
      <c r="A23" t="s">
        <v>5</v>
      </c>
      <c r="B23">
        <v>7</v>
      </c>
      <c r="C23">
        <v>0</v>
      </c>
      <c r="D23">
        <v>8</v>
      </c>
      <c r="E23">
        <v>6</v>
      </c>
      <c r="F23">
        <v>4</v>
      </c>
      <c r="G23">
        <v>4</v>
      </c>
      <c r="H23">
        <v>2</v>
      </c>
    </row>
    <row r="24" spans="1:13" x14ac:dyDescent="0.3">
      <c r="A24" t="s">
        <v>6</v>
      </c>
      <c r="B24">
        <v>9</v>
      </c>
      <c r="C24">
        <v>2</v>
      </c>
      <c r="D24">
        <v>10</v>
      </c>
      <c r="E24">
        <v>8</v>
      </c>
      <c r="F24">
        <v>6</v>
      </c>
      <c r="G24">
        <v>6</v>
      </c>
      <c r="H24">
        <v>4</v>
      </c>
      <c r="I24">
        <v>2</v>
      </c>
    </row>
    <row r="25" spans="1:13" x14ac:dyDescent="0.3">
      <c r="A25" t="s">
        <v>7</v>
      </c>
      <c r="B25">
        <v>13</v>
      </c>
      <c r="C25">
        <v>6</v>
      </c>
      <c r="D25">
        <v>14</v>
      </c>
      <c r="E25">
        <v>12</v>
      </c>
      <c r="F25">
        <v>10</v>
      </c>
      <c r="G25">
        <v>10</v>
      </c>
      <c r="H25">
        <v>8</v>
      </c>
      <c r="I25">
        <v>6</v>
      </c>
      <c r="J25">
        <v>4</v>
      </c>
    </row>
    <row r="26" spans="1:13" x14ac:dyDescent="0.3">
      <c r="A26" t="s">
        <v>8</v>
      </c>
      <c r="B26">
        <v>11</v>
      </c>
      <c r="C26">
        <v>6</v>
      </c>
      <c r="D26">
        <v>12</v>
      </c>
      <c r="E26">
        <v>10</v>
      </c>
      <c r="F26">
        <v>8</v>
      </c>
      <c r="G26">
        <v>8</v>
      </c>
      <c r="H26">
        <v>6</v>
      </c>
      <c r="I26">
        <v>6</v>
      </c>
      <c r="J26">
        <v>8</v>
      </c>
      <c r="K26">
        <v>4</v>
      </c>
    </row>
    <row r="27" spans="1:13" x14ac:dyDescent="0.3">
      <c r="A27" t="s">
        <v>9</v>
      </c>
      <c r="B27">
        <v>11</v>
      </c>
      <c r="C27">
        <v>6</v>
      </c>
      <c r="D27">
        <v>12</v>
      </c>
      <c r="E27">
        <v>10</v>
      </c>
      <c r="F27">
        <v>8</v>
      </c>
      <c r="G27">
        <v>8</v>
      </c>
      <c r="H27">
        <v>6</v>
      </c>
      <c r="I27">
        <v>6</v>
      </c>
      <c r="J27">
        <v>8</v>
      </c>
      <c r="K27">
        <v>6</v>
      </c>
      <c r="L27">
        <v>2</v>
      </c>
    </row>
    <row r="28" spans="1:13" x14ac:dyDescent="0.3">
      <c r="A28" t="s">
        <v>10</v>
      </c>
      <c r="B28">
        <v>13</v>
      </c>
      <c r="C28">
        <v>7</v>
      </c>
      <c r="D28">
        <v>14</v>
      </c>
      <c r="E28">
        <v>12</v>
      </c>
      <c r="F28">
        <v>10</v>
      </c>
      <c r="G28">
        <v>10</v>
      </c>
      <c r="H28">
        <v>8</v>
      </c>
      <c r="I28">
        <v>7</v>
      </c>
      <c r="J28">
        <v>10</v>
      </c>
      <c r="K28">
        <v>8</v>
      </c>
      <c r="L28">
        <v>4</v>
      </c>
      <c r="M28">
        <v>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CBFE-FC24-40BA-8880-1C0907B56744}">
  <dimension ref="A1:N14"/>
  <sheetViews>
    <sheetView workbookViewId="0">
      <selection activeCell="A2" sqref="A2:A14"/>
    </sheetView>
  </sheetViews>
  <sheetFormatPr baseColWidth="10" defaultRowHeight="14.4" x14ac:dyDescent="0.3"/>
  <sheetData>
    <row r="1" spans="1:14" x14ac:dyDescent="0.3">
      <c r="B1" t="s">
        <v>11</v>
      </c>
      <c r="C1" t="s">
        <v>12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">
      <c r="A2" t="s">
        <v>11</v>
      </c>
      <c r="B2">
        <f>IF(Tabelle2!B2&lt;&gt;"",Tabelle2!B2,Tabelle2!B16)</f>
        <v>0</v>
      </c>
      <c r="C2">
        <f>IF(Tabelle2!C2&lt;&gt;"",Tabelle2!C2,Tabelle2!C16)</f>
        <v>5</v>
      </c>
      <c r="D2">
        <f>IF(Tabelle2!D2&lt;&gt;"",Tabelle2!D2,Tabelle2!D16)</f>
        <v>3</v>
      </c>
      <c r="E2">
        <f>IF(Tabelle2!E2&lt;&gt;"",Tabelle2!E2,Tabelle2!E16)</f>
        <v>1</v>
      </c>
      <c r="F2">
        <f>IF(Tabelle2!F2&lt;&gt;"",Tabelle2!F2,Tabelle2!F16)</f>
        <v>3</v>
      </c>
      <c r="G2">
        <f>IF(Tabelle2!G2&lt;&gt;"",Tabelle2!G2,Tabelle2!G16)</f>
        <v>5</v>
      </c>
      <c r="H2">
        <f>IF(Tabelle2!H2&lt;&gt;"",Tabelle2!H2,Tabelle2!H16)</f>
        <v>5</v>
      </c>
      <c r="I2">
        <f>IF(Tabelle2!I2&lt;&gt;"",Tabelle2!I2,Tabelle2!I16)</f>
        <v>7</v>
      </c>
      <c r="J2">
        <f>IF(Tabelle2!J2&lt;&gt;"",Tabelle2!J2,Tabelle2!J16)</f>
        <v>9</v>
      </c>
      <c r="K2">
        <f>IF(Tabelle2!K2&lt;&gt;"",Tabelle2!K2,Tabelle2!K16)</f>
        <v>13</v>
      </c>
      <c r="L2">
        <f>IF(Tabelle2!L2&lt;&gt;"",Tabelle2!L2,Tabelle2!L16)</f>
        <v>11</v>
      </c>
      <c r="M2">
        <f>IF(Tabelle2!M2&lt;&gt;"",Tabelle2!M2,Tabelle2!M16)</f>
        <v>11</v>
      </c>
      <c r="N2">
        <f>IF(Tabelle2!N2&lt;&gt;"",Tabelle2!N2,Tabelle2!N16)</f>
        <v>13</v>
      </c>
    </row>
    <row r="3" spans="1:14" x14ac:dyDescent="0.3">
      <c r="A3" t="s">
        <v>12</v>
      </c>
      <c r="B3">
        <f>IF(Tabelle2!B3&lt;&gt;"",Tabelle2!B3,Tabelle2!B17)</f>
        <v>5</v>
      </c>
      <c r="C3">
        <f>IF(Tabelle2!C3&lt;&gt;"",Tabelle2!C3,Tabelle2!C17)</f>
        <v>0</v>
      </c>
      <c r="D3">
        <f>IF(Tabelle2!D3&lt;&gt;"",Tabelle2!D3,Tabelle2!D17)</f>
        <v>8</v>
      </c>
      <c r="E3">
        <f>IF(Tabelle2!E3&lt;&gt;"",Tabelle2!E3,Tabelle2!E17)</f>
        <v>6</v>
      </c>
      <c r="F3">
        <f>IF(Tabelle2!F3&lt;&gt;"",Tabelle2!F3,Tabelle2!F17)</f>
        <v>4</v>
      </c>
      <c r="G3">
        <f>IF(Tabelle2!G3&lt;&gt;"",Tabelle2!G3,Tabelle2!G17)</f>
        <v>4</v>
      </c>
      <c r="H3">
        <f>IF(Tabelle2!H3&lt;&gt;"",Tabelle2!H3,Tabelle2!H17)</f>
        <v>2</v>
      </c>
      <c r="I3">
        <f>IF(Tabelle2!I3&lt;&gt;"",Tabelle2!I3,Tabelle2!I17)</f>
        <v>0</v>
      </c>
      <c r="J3">
        <f>IF(Tabelle2!J3&lt;&gt;"",Tabelle2!J3,Tabelle2!J17)</f>
        <v>2</v>
      </c>
      <c r="K3">
        <f>IF(Tabelle2!K3&lt;&gt;"",Tabelle2!K3,Tabelle2!K17)</f>
        <v>6</v>
      </c>
      <c r="L3">
        <f>IF(Tabelle2!L3&lt;&gt;"",Tabelle2!L3,Tabelle2!L17)</f>
        <v>6</v>
      </c>
      <c r="M3">
        <f>IF(Tabelle2!M3&lt;&gt;"",Tabelle2!M3,Tabelle2!M17)</f>
        <v>6</v>
      </c>
      <c r="N3">
        <f>IF(Tabelle2!N3&lt;&gt;"",Tabelle2!N3,Tabelle2!N17)</f>
        <v>7</v>
      </c>
    </row>
    <row r="4" spans="1:14" x14ac:dyDescent="0.3">
      <c r="A4" t="s">
        <v>0</v>
      </c>
      <c r="B4">
        <f>IF(Tabelle2!B4&lt;&gt;"",Tabelle2!B4,Tabelle2!B18)</f>
        <v>3</v>
      </c>
      <c r="C4">
        <f>IF(Tabelle2!C4&lt;&gt;"",Tabelle2!C4,Tabelle2!C18)</f>
        <v>8</v>
      </c>
      <c r="D4">
        <f>IF(Tabelle2!D4&lt;&gt;"",Tabelle2!D4,Tabelle2!D18)</f>
        <v>0</v>
      </c>
      <c r="E4">
        <f>IF(Tabelle2!E4&lt;&gt;"",Tabelle2!E4,Tabelle2!E18)</f>
        <v>2</v>
      </c>
      <c r="F4">
        <f>IF(Tabelle2!F4&lt;&gt;"",Tabelle2!F4,Tabelle2!F18)</f>
        <v>4</v>
      </c>
      <c r="G4">
        <f>IF(Tabelle2!G4&lt;&gt;"",Tabelle2!G4,Tabelle2!G18)</f>
        <v>6</v>
      </c>
      <c r="H4">
        <f>IF(Tabelle2!H4&lt;&gt;"",Tabelle2!H4,Tabelle2!H18)</f>
        <v>6</v>
      </c>
      <c r="I4">
        <f>IF(Tabelle2!I4&lt;&gt;"",Tabelle2!I4,Tabelle2!I18)</f>
        <v>8</v>
      </c>
      <c r="J4">
        <f>IF(Tabelle2!J4&lt;&gt;"",Tabelle2!J4,Tabelle2!J18)</f>
        <v>10</v>
      </c>
      <c r="K4">
        <f>IF(Tabelle2!K4&lt;&gt;"",Tabelle2!K4,Tabelle2!K18)</f>
        <v>14</v>
      </c>
      <c r="L4">
        <f>IF(Tabelle2!L4&lt;&gt;"",Tabelle2!L4,Tabelle2!L18)</f>
        <v>12</v>
      </c>
      <c r="M4">
        <f>IF(Tabelle2!M4&lt;&gt;"",Tabelle2!M4,Tabelle2!M18)</f>
        <v>12</v>
      </c>
      <c r="N4">
        <f>IF(Tabelle2!N4&lt;&gt;"",Tabelle2!N4,Tabelle2!N18)</f>
        <v>14</v>
      </c>
    </row>
    <row r="5" spans="1:14" x14ac:dyDescent="0.3">
      <c r="A5" t="s">
        <v>1</v>
      </c>
      <c r="B5">
        <f>IF(Tabelle2!B5&lt;&gt;"",Tabelle2!B5,Tabelle2!B19)</f>
        <v>1</v>
      </c>
      <c r="C5">
        <f>IF(Tabelle2!C5&lt;&gt;"",Tabelle2!C5,Tabelle2!C19)</f>
        <v>6</v>
      </c>
      <c r="D5">
        <f>IF(Tabelle2!D5&lt;&gt;"",Tabelle2!D5,Tabelle2!D19)</f>
        <v>2</v>
      </c>
      <c r="E5">
        <f>IF(Tabelle2!E5&lt;&gt;"",Tabelle2!E5,Tabelle2!E19)</f>
        <v>0</v>
      </c>
      <c r="F5">
        <f>IF(Tabelle2!F5&lt;&gt;"",Tabelle2!F5,Tabelle2!F19)</f>
        <v>2</v>
      </c>
      <c r="G5">
        <f>IF(Tabelle2!G5&lt;&gt;"",Tabelle2!G5,Tabelle2!G19)</f>
        <v>4</v>
      </c>
      <c r="H5">
        <f>IF(Tabelle2!H5&lt;&gt;"",Tabelle2!H5,Tabelle2!H19)</f>
        <v>4</v>
      </c>
      <c r="I5">
        <f>IF(Tabelle2!I5&lt;&gt;"",Tabelle2!I5,Tabelle2!I19)</f>
        <v>6</v>
      </c>
      <c r="J5">
        <f>IF(Tabelle2!J5&lt;&gt;"",Tabelle2!J5,Tabelle2!J19)</f>
        <v>8</v>
      </c>
      <c r="K5">
        <f>IF(Tabelle2!K5&lt;&gt;"",Tabelle2!K5,Tabelle2!K19)</f>
        <v>12</v>
      </c>
      <c r="L5">
        <f>IF(Tabelle2!L5&lt;&gt;"",Tabelle2!L5,Tabelle2!L19)</f>
        <v>10</v>
      </c>
      <c r="M5">
        <f>IF(Tabelle2!M5&lt;&gt;"",Tabelle2!M5,Tabelle2!M19)</f>
        <v>10</v>
      </c>
      <c r="N5">
        <f>IF(Tabelle2!N5&lt;&gt;"",Tabelle2!N5,Tabelle2!N19)</f>
        <v>12</v>
      </c>
    </row>
    <row r="6" spans="1:14" x14ac:dyDescent="0.3">
      <c r="A6" t="s">
        <v>2</v>
      </c>
      <c r="B6">
        <f>IF(Tabelle2!B6&lt;&gt;"",Tabelle2!B6,Tabelle2!B20)</f>
        <v>3</v>
      </c>
      <c r="C6">
        <f>IF(Tabelle2!C6&lt;&gt;"",Tabelle2!C6,Tabelle2!C20)</f>
        <v>4</v>
      </c>
      <c r="D6">
        <f>IF(Tabelle2!D6&lt;&gt;"",Tabelle2!D6,Tabelle2!D20)</f>
        <v>4</v>
      </c>
      <c r="E6">
        <f>IF(Tabelle2!E6&lt;&gt;"",Tabelle2!E6,Tabelle2!E20)</f>
        <v>2</v>
      </c>
      <c r="F6">
        <f>IF(Tabelle2!F6&lt;&gt;"",Tabelle2!F6,Tabelle2!F20)</f>
        <v>0</v>
      </c>
      <c r="G6">
        <f>IF(Tabelle2!G6&lt;&gt;"",Tabelle2!G6,Tabelle2!G20)</f>
        <v>2</v>
      </c>
      <c r="H6">
        <f>IF(Tabelle2!H6&lt;&gt;"",Tabelle2!H6,Tabelle2!H20)</f>
        <v>2</v>
      </c>
      <c r="I6">
        <f>IF(Tabelle2!I6&lt;&gt;"",Tabelle2!I6,Tabelle2!I20)</f>
        <v>4</v>
      </c>
      <c r="J6">
        <f>IF(Tabelle2!J6&lt;&gt;"",Tabelle2!J6,Tabelle2!J20)</f>
        <v>6</v>
      </c>
      <c r="K6">
        <f>IF(Tabelle2!K6&lt;&gt;"",Tabelle2!K6,Tabelle2!K20)</f>
        <v>10</v>
      </c>
      <c r="L6">
        <f>IF(Tabelle2!L6&lt;&gt;"",Tabelle2!L6,Tabelle2!L20)</f>
        <v>8</v>
      </c>
      <c r="M6">
        <f>IF(Tabelle2!M6&lt;&gt;"",Tabelle2!M6,Tabelle2!M20)</f>
        <v>8</v>
      </c>
      <c r="N6">
        <f>IF(Tabelle2!N6&lt;&gt;"",Tabelle2!N6,Tabelle2!N20)</f>
        <v>10</v>
      </c>
    </row>
    <row r="7" spans="1:14" x14ac:dyDescent="0.3">
      <c r="A7" t="s">
        <v>3</v>
      </c>
      <c r="B7">
        <f>IF(Tabelle2!B7&lt;&gt;"",Tabelle2!B7,Tabelle2!B21)</f>
        <v>5</v>
      </c>
      <c r="C7">
        <f>IF(Tabelle2!C7&lt;&gt;"",Tabelle2!C7,Tabelle2!C21)</f>
        <v>4</v>
      </c>
      <c r="D7">
        <f>IF(Tabelle2!D7&lt;&gt;"",Tabelle2!D7,Tabelle2!D21)</f>
        <v>6</v>
      </c>
      <c r="E7">
        <f>IF(Tabelle2!E7&lt;&gt;"",Tabelle2!E7,Tabelle2!E21)</f>
        <v>4</v>
      </c>
      <c r="F7">
        <f>IF(Tabelle2!F7&lt;&gt;"",Tabelle2!F7,Tabelle2!F21)</f>
        <v>2</v>
      </c>
      <c r="G7">
        <f>IF(Tabelle2!G7&lt;&gt;"",Tabelle2!G7,Tabelle2!G21)</f>
        <v>0</v>
      </c>
      <c r="H7">
        <f>IF(Tabelle2!H7&lt;&gt;"",Tabelle2!H7,Tabelle2!H21)</f>
        <v>2</v>
      </c>
      <c r="I7">
        <f>IF(Tabelle2!I7&lt;&gt;"",Tabelle2!I7,Tabelle2!I21)</f>
        <v>4</v>
      </c>
      <c r="J7">
        <f>IF(Tabelle2!J7&lt;&gt;"",Tabelle2!J7,Tabelle2!J21)</f>
        <v>6</v>
      </c>
      <c r="K7">
        <f>IF(Tabelle2!K7&lt;&gt;"",Tabelle2!K7,Tabelle2!K21)</f>
        <v>10</v>
      </c>
      <c r="L7">
        <f>IF(Tabelle2!L7&lt;&gt;"",Tabelle2!L7,Tabelle2!L21)</f>
        <v>8</v>
      </c>
      <c r="M7">
        <f>IF(Tabelle2!M7&lt;&gt;"",Tabelle2!M7,Tabelle2!M21)</f>
        <v>8</v>
      </c>
      <c r="N7">
        <f>IF(Tabelle2!N7&lt;&gt;"",Tabelle2!N7,Tabelle2!N21)</f>
        <v>10</v>
      </c>
    </row>
    <row r="8" spans="1:14" x14ac:dyDescent="0.3">
      <c r="A8" t="s">
        <v>4</v>
      </c>
      <c r="B8">
        <f>IF(Tabelle2!B8&lt;&gt;"",Tabelle2!B8,Tabelle2!B22)</f>
        <v>5</v>
      </c>
      <c r="C8">
        <f>IF(Tabelle2!C8&lt;&gt;"",Tabelle2!C8,Tabelle2!C22)</f>
        <v>2</v>
      </c>
      <c r="D8">
        <f>IF(Tabelle2!D8&lt;&gt;"",Tabelle2!D8,Tabelle2!D22)</f>
        <v>6</v>
      </c>
      <c r="E8">
        <f>IF(Tabelle2!E8&lt;&gt;"",Tabelle2!E8,Tabelle2!E22)</f>
        <v>4</v>
      </c>
      <c r="F8">
        <f>IF(Tabelle2!F8&lt;&gt;"",Tabelle2!F8,Tabelle2!F22)</f>
        <v>2</v>
      </c>
      <c r="G8">
        <f>IF(Tabelle2!G8&lt;&gt;"",Tabelle2!G8,Tabelle2!G22)</f>
        <v>2</v>
      </c>
      <c r="H8">
        <f>IF(Tabelle2!H8&lt;&gt;"",Tabelle2!H8,Tabelle2!H22)</f>
        <v>0</v>
      </c>
      <c r="I8">
        <f>IF(Tabelle2!I8&lt;&gt;"",Tabelle2!I8,Tabelle2!I22)</f>
        <v>2</v>
      </c>
      <c r="J8">
        <f>IF(Tabelle2!J8&lt;&gt;"",Tabelle2!J8,Tabelle2!J22)</f>
        <v>4</v>
      </c>
      <c r="K8">
        <f>IF(Tabelle2!K8&lt;&gt;"",Tabelle2!K8,Tabelle2!K22)</f>
        <v>8</v>
      </c>
      <c r="L8">
        <f>IF(Tabelle2!L8&lt;&gt;"",Tabelle2!L8,Tabelle2!L22)</f>
        <v>6</v>
      </c>
      <c r="M8">
        <f>IF(Tabelle2!M8&lt;&gt;"",Tabelle2!M8,Tabelle2!M22)</f>
        <v>6</v>
      </c>
      <c r="N8">
        <f>IF(Tabelle2!N8&lt;&gt;"",Tabelle2!N8,Tabelle2!N22)</f>
        <v>8</v>
      </c>
    </row>
    <row r="9" spans="1:14" x14ac:dyDescent="0.3">
      <c r="A9" t="s">
        <v>5</v>
      </c>
      <c r="B9">
        <f>IF(Tabelle2!B9&lt;&gt;"",Tabelle2!B9,Tabelle2!B23)</f>
        <v>7</v>
      </c>
      <c r="C9">
        <f>IF(Tabelle2!C9&lt;&gt;"",Tabelle2!C9,Tabelle2!C23)</f>
        <v>0</v>
      </c>
      <c r="D9">
        <f>IF(Tabelle2!D9&lt;&gt;"",Tabelle2!D9,Tabelle2!D23)</f>
        <v>8</v>
      </c>
      <c r="E9">
        <f>IF(Tabelle2!E9&lt;&gt;"",Tabelle2!E9,Tabelle2!E23)</f>
        <v>6</v>
      </c>
      <c r="F9">
        <f>IF(Tabelle2!F9&lt;&gt;"",Tabelle2!F9,Tabelle2!F23)</f>
        <v>4</v>
      </c>
      <c r="G9">
        <f>IF(Tabelle2!G9&lt;&gt;"",Tabelle2!G9,Tabelle2!G23)</f>
        <v>4</v>
      </c>
      <c r="H9">
        <f>IF(Tabelle2!H9&lt;&gt;"",Tabelle2!H9,Tabelle2!H23)</f>
        <v>2</v>
      </c>
      <c r="I9">
        <f>IF(Tabelle2!I9&lt;&gt;"",Tabelle2!I9,Tabelle2!I23)</f>
        <v>0</v>
      </c>
      <c r="J9">
        <f>IF(Tabelle2!J9&lt;&gt;"",Tabelle2!J9,Tabelle2!J23)</f>
        <v>2</v>
      </c>
      <c r="K9">
        <f>IF(Tabelle2!K9&lt;&gt;"",Tabelle2!K9,Tabelle2!K23)</f>
        <v>6</v>
      </c>
      <c r="L9">
        <f>IF(Tabelle2!L9&lt;&gt;"",Tabelle2!L9,Tabelle2!L23)</f>
        <v>6</v>
      </c>
      <c r="M9">
        <f>IF(Tabelle2!M9&lt;&gt;"",Tabelle2!M9,Tabelle2!M23)</f>
        <v>6</v>
      </c>
      <c r="N9">
        <f>IF(Tabelle2!N9&lt;&gt;"",Tabelle2!N9,Tabelle2!N23)</f>
        <v>7</v>
      </c>
    </row>
    <row r="10" spans="1:14" x14ac:dyDescent="0.3">
      <c r="A10" t="s">
        <v>6</v>
      </c>
      <c r="B10">
        <f>IF(Tabelle2!B10&lt;&gt;"",Tabelle2!B10,Tabelle2!B24)</f>
        <v>9</v>
      </c>
      <c r="C10">
        <f>IF(Tabelle2!C10&lt;&gt;"",Tabelle2!C10,Tabelle2!C24)</f>
        <v>2</v>
      </c>
      <c r="D10">
        <f>IF(Tabelle2!D10&lt;&gt;"",Tabelle2!D10,Tabelle2!D24)</f>
        <v>10</v>
      </c>
      <c r="E10">
        <f>IF(Tabelle2!E10&lt;&gt;"",Tabelle2!E10,Tabelle2!E24)</f>
        <v>8</v>
      </c>
      <c r="F10">
        <f>IF(Tabelle2!F10&lt;&gt;"",Tabelle2!F10,Tabelle2!F24)</f>
        <v>6</v>
      </c>
      <c r="G10">
        <f>IF(Tabelle2!G10&lt;&gt;"",Tabelle2!G10,Tabelle2!G24)</f>
        <v>6</v>
      </c>
      <c r="H10">
        <f>IF(Tabelle2!H10&lt;&gt;"",Tabelle2!H10,Tabelle2!H24)</f>
        <v>4</v>
      </c>
      <c r="I10">
        <f>IF(Tabelle2!I10&lt;&gt;"",Tabelle2!I10,Tabelle2!I24)</f>
        <v>2</v>
      </c>
      <c r="J10">
        <f>IF(Tabelle2!J10&lt;&gt;"",Tabelle2!J10,Tabelle2!J24)</f>
        <v>0</v>
      </c>
      <c r="K10">
        <f>IF(Tabelle2!K10&lt;&gt;"",Tabelle2!K10,Tabelle2!K24)</f>
        <v>4</v>
      </c>
      <c r="L10">
        <f>IF(Tabelle2!L10&lt;&gt;"",Tabelle2!L10,Tabelle2!L24)</f>
        <v>8</v>
      </c>
      <c r="M10">
        <f>IF(Tabelle2!M10&lt;&gt;"",Tabelle2!M10,Tabelle2!M24)</f>
        <v>8</v>
      </c>
      <c r="N10">
        <f>IF(Tabelle2!N10&lt;&gt;"",Tabelle2!N10,Tabelle2!N24)</f>
        <v>10</v>
      </c>
    </row>
    <row r="11" spans="1:14" x14ac:dyDescent="0.3">
      <c r="A11" t="s">
        <v>7</v>
      </c>
      <c r="B11">
        <f>IF(Tabelle2!B11&lt;&gt;"",Tabelle2!B11,Tabelle2!B25)</f>
        <v>13</v>
      </c>
      <c r="C11">
        <f>IF(Tabelle2!C11&lt;&gt;"",Tabelle2!C11,Tabelle2!C25)</f>
        <v>6</v>
      </c>
      <c r="D11">
        <f>IF(Tabelle2!D11&lt;&gt;"",Tabelle2!D11,Tabelle2!D25)</f>
        <v>14</v>
      </c>
      <c r="E11">
        <f>IF(Tabelle2!E11&lt;&gt;"",Tabelle2!E11,Tabelle2!E25)</f>
        <v>12</v>
      </c>
      <c r="F11">
        <f>IF(Tabelle2!F11&lt;&gt;"",Tabelle2!F11,Tabelle2!F25)</f>
        <v>10</v>
      </c>
      <c r="G11">
        <f>IF(Tabelle2!G11&lt;&gt;"",Tabelle2!G11,Tabelle2!G25)</f>
        <v>10</v>
      </c>
      <c r="H11">
        <f>IF(Tabelle2!H11&lt;&gt;"",Tabelle2!H11,Tabelle2!H25)</f>
        <v>8</v>
      </c>
      <c r="I11">
        <f>IF(Tabelle2!I11&lt;&gt;"",Tabelle2!I11,Tabelle2!I25)</f>
        <v>6</v>
      </c>
      <c r="J11">
        <f>IF(Tabelle2!J11&lt;&gt;"",Tabelle2!J11,Tabelle2!J25)</f>
        <v>4</v>
      </c>
      <c r="K11">
        <f>IF(Tabelle2!K11&lt;&gt;"",Tabelle2!K11,Tabelle2!K25)</f>
        <v>0</v>
      </c>
      <c r="L11">
        <f>IF(Tabelle2!L11&lt;&gt;"",Tabelle2!L11,Tabelle2!L25)</f>
        <v>4</v>
      </c>
      <c r="M11">
        <f>IF(Tabelle2!M11&lt;&gt;"",Tabelle2!M11,Tabelle2!M25)</f>
        <v>6</v>
      </c>
      <c r="N11">
        <f>IF(Tabelle2!N11&lt;&gt;"",Tabelle2!N11,Tabelle2!N25)</f>
        <v>8</v>
      </c>
    </row>
    <row r="12" spans="1:14" x14ac:dyDescent="0.3">
      <c r="A12" t="s">
        <v>8</v>
      </c>
      <c r="B12">
        <f>IF(Tabelle2!B12&lt;&gt;"",Tabelle2!B12,Tabelle2!B26)</f>
        <v>11</v>
      </c>
      <c r="C12">
        <f>IF(Tabelle2!C12&lt;&gt;"",Tabelle2!C12,Tabelle2!C26)</f>
        <v>6</v>
      </c>
      <c r="D12">
        <f>IF(Tabelle2!D12&lt;&gt;"",Tabelle2!D12,Tabelle2!D26)</f>
        <v>12</v>
      </c>
      <c r="E12">
        <f>IF(Tabelle2!E12&lt;&gt;"",Tabelle2!E12,Tabelle2!E26)</f>
        <v>10</v>
      </c>
      <c r="F12">
        <f>IF(Tabelle2!F12&lt;&gt;"",Tabelle2!F12,Tabelle2!F26)</f>
        <v>8</v>
      </c>
      <c r="G12">
        <f>IF(Tabelle2!G12&lt;&gt;"",Tabelle2!G12,Tabelle2!G26)</f>
        <v>8</v>
      </c>
      <c r="H12">
        <f>IF(Tabelle2!H12&lt;&gt;"",Tabelle2!H12,Tabelle2!H26)</f>
        <v>6</v>
      </c>
      <c r="I12">
        <f>IF(Tabelle2!I12&lt;&gt;"",Tabelle2!I12,Tabelle2!I26)</f>
        <v>6</v>
      </c>
      <c r="J12">
        <f>IF(Tabelle2!J12&lt;&gt;"",Tabelle2!J12,Tabelle2!J26)</f>
        <v>8</v>
      </c>
      <c r="K12">
        <f>IF(Tabelle2!K12&lt;&gt;"",Tabelle2!K12,Tabelle2!K26)</f>
        <v>4</v>
      </c>
      <c r="L12">
        <f>IF(Tabelle2!L12&lt;&gt;"",Tabelle2!L12,Tabelle2!L26)</f>
        <v>0</v>
      </c>
      <c r="M12">
        <f>IF(Tabelle2!M12&lt;&gt;"",Tabelle2!M12,Tabelle2!M26)</f>
        <v>2</v>
      </c>
      <c r="N12">
        <f>IF(Tabelle2!N12&lt;&gt;"",Tabelle2!N12,Tabelle2!N26)</f>
        <v>4</v>
      </c>
    </row>
    <row r="13" spans="1:14" x14ac:dyDescent="0.3">
      <c r="A13" t="s">
        <v>9</v>
      </c>
      <c r="B13">
        <f>IF(Tabelle2!B13&lt;&gt;"",Tabelle2!B13,Tabelle2!B27)</f>
        <v>11</v>
      </c>
      <c r="C13">
        <f>IF(Tabelle2!C13&lt;&gt;"",Tabelle2!C13,Tabelle2!C27)</f>
        <v>6</v>
      </c>
      <c r="D13">
        <f>IF(Tabelle2!D13&lt;&gt;"",Tabelle2!D13,Tabelle2!D27)</f>
        <v>12</v>
      </c>
      <c r="E13">
        <f>IF(Tabelle2!E13&lt;&gt;"",Tabelle2!E13,Tabelle2!E27)</f>
        <v>10</v>
      </c>
      <c r="F13">
        <f>IF(Tabelle2!F13&lt;&gt;"",Tabelle2!F13,Tabelle2!F27)</f>
        <v>8</v>
      </c>
      <c r="G13">
        <f>IF(Tabelle2!G13&lt;&gt;"",Tabelle2!G13,Tabelle2!G27)</f>
        <v>8</v>
      </c>
      <c r="H13">
        <f>IF(Tabelle2!H13&lt;&gt;"",Tabelle2!H13,Tabelle2!H27)</f>
        <v>6</v>
      </c>
      <c r="I13">
        <f>IF(Tabelle2!I13&lt;&gt;"",Tabelle2!I13,Tabelle2!I27)</f>
        <v>6</v>
      </c>
      <c r="J13">
        <f>IF(Tabelle2!J13&lt;&gt;"",Tabelle2!J13,Tabelle2!J27)</f>
        <v>8</v>
      </c>
      <c r="K13">
        <f>IF(Tabelle2!K13&lt;&gt;"",Tabelle2!K13,Tabelle2!K27)</f>
        <v>6</v>
      </c>
      <c r="L13">
        <f>IF(Tabelle2!L13&lt;&gt;"",Tabelle2!L13,Tabelle2!L27)</f>
        <v>2</v>
      </c>
      <c r="M13">
        <f>IF(Tabelle2!M13&lt;&gt;"",Tabelle2!M13,Tabelle2!M27)</f>
        <v>0</v>
      </c>
      <c r="N13">
        <f>IF(Tabelle2!N13&lt;&gt;"",Tabelle2!N13,Tabelle2!N27)</f>
        <v>2</v>
      </c>
    </row>
    <row r="14" spans="1:14" x14ac:dyDescent="0.3">
      <c r="A14" t="s">
        <v>10</v>
      </c>
      <c r="B14">
        <f>IF(Tabelle2!B14&lt;&gt;"",Tabelle2!B14,Tabelle2!B28)</f>
        <v>13</v>
      </c>
      <c r="C14">
        <f>IF(Tabelle2!C14&lt;&gt;"",Tabelle2!C14,Tabelle2!C28)</f>
        <v>7</v>
      </c>
      <c r="D14">
        <f>IF(Tabelle2!D14&lt;&gt;"",Tabelle2!D14,Tabelle2!D28)</f>
        <v>14</v>
      </c>
      <c r="E14">
        <f>IF(Tabelle2!E14&lt;&gt;"",Tabelle2!E14,Tabelle2!E28)</f>
        <v>12</v>
      </c>
      <c r="F14">
        <f>IF(Tabelle2!F14&lt;&gt;"",Tabelle2!F14,Tabelle2!F28)</f>
        <v>10</v>
      </c>
      <c r="G14">
        <f>IF(Tabelle2!G14&lt;&gt;"",Tabelle2!G14,Tabelle2!G28)</f>
        <v>10</v>
      </c>
      <c r="H14">
        <f>IF(Tabelle2!H14&lt;&gt;"",Tabelle2!H14,Tabelle2!H28)</f>
        <v>8</v>
      </c>
      <c r="I14">
        <f>IF(Tabelle2!I14&lt;&gt;"",Tabelle2!I14,Tabelle2!I28)</f>
        <v>7</v>
      </c>
      <c r="J14">
        <f>IF(Tabelle2!J14&lt;&gt;"",Tabelle2!J14,Tabelle2!J28)</f>
        <v>10</v>
      </c>
      <c r="K14">
        <f>IF(Tabelle2!K14&lt;&gt;"",Tabelle2!K14,Tabelle2!K28)</f>
        <v>8</v>
      </c>
      <c r="L14">
        <f>IF(Tabelle2!L14&lt;&gt;"",Tabelle2!L14,Tabelle2!L28)</f>
        <v>4</v>
      </c>
      <c r="M14">
        <f>IF(Tabelle2!M14&lt;&gt;"",Tabelle2!M14,Tabelle2!M28)</f>
        <v>2</v>
      </c>
      <c r="N14">
        <f>IF(Tabelle2!N14&lt;&gt;"",Tabelle2!N14,Tabelle2!N28)</f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6D77-18E9-4D7D-9563-9BEA075ABCE1}">
  <dimension ref="A1:B13"/>
  <sheetViews>
    <sheetView workbookViewId="0">
      <selection sqref="A1:A12"/>
    </sheetView>
  </sheetViews>
  <sheetFormatPr baseColWidth="10" defaultRowHeight="14.4" x14ac:dyDescent="0.3"/>
  <sheetData>
    <row r="1" spans="1:2" x14ac:dyDescent="0.3">
      <c r="A1" t="s">
        <v>11</v>
      </c>
      <c r="B1">
        <v>0</v>
      </c>
    </row>
    <row r="2" spans="1:2" x14ac:dyDescent="0.3">
      <c r="A2" t="s">
        <v>12</v>
      </c>
      <c r="B2">
        <v>1</v>
      </c>
    </row>
    <row r="3" spans="1:2" x14ac:dyDescent="0.3">
      <c r="A3" t="s">
        <v>0</v>
      </c>
      <c r="B3">
        <v>2</v>
      </c>
    </row>
    <row r="4" spans="1:2" x14ac:dyDescent="0.3">
      <c r="A4" t="s">
        <v>13</v>
      </c>
      <c r="B4">
        <v>3</v>
      </c>
    </row>
    <row r="5" spans="1:2" x14ac:dyDescent="0.3">
      <c r="A5" t="s">
        <v>2</v>
      </c>
      <c r="B5">
        <v>4</v>
      </c>
    </row>
    <row r="6" spans="1:2" x14ac:dyDescent="0.3">
      <c r="A6" t="s">
        <v>3</v>
      </c>
      <c r="B6">
        <v>5</v>
      </c>
    </row>
    <row r="7" spans="1:2" x14ac:dyDescent="0.3">
      <c r="A7" t="s">
        <v>4</v>
      </c>
      <c r="B7">
        <v>6</v>
      </c>
    </row>
    <row r="8" spans="1:2" x14ac:dyDescent="0.3">
      <c r="A8" t="s">
        <v>5</v>
      </c>
      <c r="B8">
        <v>7</v>
      </c>
    </row>
    <row r="9" spans="1:2" x14ac:dyDescent="0.3">
      <c r="A9" t="s">
        <v>6</v>
      </c>
      <c r="B9">
        <v>8</v>
      </c>
    </row>
    <row r="10" spans="1:2" x14ac:dyDescent="0.3">
      <c r="A10" t="s">
        <v>7</v>
      </c>
      <c r="B10">
        <v>9</v>
      </c>
    </row>
    <row r="11" spans="1:2" x14ac:dyDescent="0.3">
      <c r="A11" t="s">
        <v>8</v>
      </c>
      <c r="B11">
        <v>10</v>
      </c>
    </row>
    <row r="12" spans="1:2" x14ac:dyDescent="0.3">
      <c r="A12" t="s">
        <v>9</v>
      </c>
      <c r="B12">
        <v>11</v>
      </c>
    </row>
    <row r="13" spans="1:2" x14ac:dyDescent="0.3">
      <c r="A13" t="s">
        <v>10</v>
      </c>
      <c r="B13">
        <v>12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5259-B9D9-41A1-A003-4374405B5A02}">
  <dimension ref="A1:C13"/>
  <sheetViews>
    <sheetView workbookViewId="0">
      <selection activeCell="D13" sqref="D13"/>
    </sheetView>
  </sheetViews>
  <sheetFormatPr baseColWidth="10" defaultRowHeight="14.4" x14ac:dyDescent="0.3"/>
  <sheetData>
    <row r="1" spans="1:3" x14ac:dyDescent="0.3">
      <c r="A1" t="str">
        <f>Stationsnummer!A1</f>
        <v>Lager_A</v>
      </c>
      <c r="B1">
        <v>0</v>
      </c>
      <c r="C1">
        <v>0</v>
      </c>
    </row>
    <row r="2" spans="1:3" x14ac:dyDescent="0.3">
      <c r="A2" t="str">
        <f>Stationsnummer!A2</f>
        <v>Lager_B</v>
      </c>
      <c r="B2">
        <v>0</v>
      </c>
      <c r="C2">
        <v>0</v>
      </c>
    </row>
    <row r="3" spans="1:3" x14ac:dyDescent="0.3">
      <c r="A3" t="str">
        <f>Stationsnummer!A3</f>
        <v>LED</v>
      </c>
      <c r="B3">
        <v>0</v>
      </c>
      <c r="C3">
        <v>3</v>
      </c>
    </row>
    <row r="4" spans="1:3" x14ac:dyDescent="0.3">
      <c r="A4" t="str">
        <f>Stationsnummer!A4</f>
        <v>Loet</v>
      </c>
      <c r="B4">
        <v>0</v>
      </c>
      <c r="C4">
        <v>3</v>
      </c>
    </row>
    <row r="5" spans="1:3" x14ac:dyDescent="0.3">
      <c r="A5" t="str">
        <f>Stationsnummer!A5</f>
        <v>Batt</v>
      </c>
      <c r="B5">
        <v>0</v>
      </c>
      <c r="C5">
        <v>2</v>
      </c>
    </row>
    <row r="6" spans="1:3" x14ac:dyDescent="0.3">
      <c r="A6" t="str">
        <f>Stationsnummer!A6</f>
        <v>Einleg</v>
      </c>
      <c r="B6">
        <v>0</v>
      </c>
      <c r="C6">
        <v>1</v>
      </c>
    </row>
    <row r="7" spans="1:3" x14ac:dyDescent="0.3">
      <c r="A7" t="str">
        <f>Stationsnummer!A7</f>
        <v>Schraub</v>
      </c>
      <c r="B7">
        <v>0</v>
      </c>
      <c r="C7">
        <v>3</v>
      </c>
    </row>
    <row r="8" spans="1:3" x14ac:dyDescent="0.3">
      <c r="A8" t="str">
        <f>Stationsnummer!A8</f>
        <v>Kleb</v>
      </c>
      <c r="B8">
        <v>0</v>
      </c>
      <c r="C8">
        <v>2</v>
      </c>
    </row>
    <row r="9" spans="1:3" x14ac:dyDescent="0.3">
      <c r="A9" t="str">
        <f>Stationsnummer!A9</f>
        <v>Lack</v>
      </c>
      <c r="B9">
        <v>0</v>
      </c>
      <c r="C9">
        <v>3</v>
      </c>
    </row>
    <row r="10" spans="1:3" x14ac:dyDescent="0.3">
      <c r="A10" t="str">
        <f>Stationsnummer!A10</f>
        <v>Aufd</v>
      </c>
      <c r="B10">
        <v>0</v>
      </c>
      <c r="C10">
        <v>4</v>
      </c>
    </row>
    <row r="11" spans="1:3" x14ac:dyDescent="0.3">
      <c r="A11" t="str">
        <f>Stationsnummer!A11</f>
        <v>Halt bohr</v>
      </c>
      <c r="B11">
        <v>0</v>
      </c>
      <c r="C11">
        <v>2</v>
      </c>
    </row>
    <row r="12" spans="1:3" x14ac:dyDescent="0.3">
      <c r="A12" t="str">
        <f>Stationsnummer!A12</f>
        <v>Halt mont</v>
      </c>
      <c r="B12">
        <v>0</v>
      </c>
      <c r="C12">
        <v>4</v>
      </c>
    </row>
    <row r="13" spans="1:3" x14ac:dyDescent="0.3">
      <c r="A13" t="str">
        <f>Stationsnummer!A13</f>
        <v>Test</v>
      </c>
      <c r="B13">
        <v>0</v>
      </c>
      <c r="C13">
        <v>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0808-C577-4793-AD68-4FCB91546328}">
  <dimension ref="A1:C13"/>
  <sheetViews>
    <sheetView tabSelected="1" workbookViewId="0">
      <selection activeCell="D12" sqref="D12"/>
    </sheetView>
  </sheetViews>
  <sheetFormatPr baseColWidth="10" defaultRowHeight="14.4" x14ac:dyDescent="0.3"/>
  <sheetData>
    <row r="1" spans="1:3" x14ac:dyDescent="0.3">
      <c r="A1">
        <v>0</v>
      </c>
      <c r="B1">
        <v>3</v>
      </c>
      <c r="C1">
        <v>4</v>
      </c>
    </row>
    <row r="2" spans="1:3" x14ac:dyDescent="0.3">
      <c r="A2">
        <v>1</v>
      </c>
      <c r="B2">
        <v>5</v>
      </c>
      <c r="C2">
        <v>5</v>
      </c>
    </row>
    <row r="3" spans="1:3" x14ac:dyDescent="0.3">
      <c r="A3">
        <v>2</v>
      </c>
      <c r="B3">
        <v>1</v>
      </c>
      <c r="C3">
        <v>1</v>
      </c>
    </row>
    <row r="4" spans="1:3" x14ac:dyDescent="0.3">
      <c r="A4">
        <v>3</v>
      </c>
      <c r="B4">
        <v>3</v>
      </c>
      <c r="C4">
        <v>1</v>
      </c>
    </row>
    <row r="5" spans="1:3" x14ac:dyDescent="0.3">
      <c r="A5">
        <v>4</v>
      </c>
      <c r="B5">
        <v>5</v>
      </c>
      <c r="C5">
        <v>1</v>
      </c>
    </row>
    <row r="6" spans="1:3" x14ac:dyDescent="0.3">
      <c r="A6">
        <v>5</v>
      </c>
      <c r="B6">
        <v>7</v>
      </c>
      <c r="C6">
        <v>1</v>
      </c>
    </row>
    <row r="7" spans="1:3" x14ac:dyDescent="0.3">
      <c r="A7">
        <v>6</v>
      </c>
      <c r="B7">
        <v>7</v>
      </c>
      <c r="C7">
        <v>3</v>
      </c>
    </row>
    <row r="8" spans="1:3" x14ac:dyDescent="0.3">
      <c r="A8">
        <v>7</v>
      </c>
      <c r="B8">
        <v>7</v>
      </c>
      <c r="C8">
        <v>5</v>
      </c>
    </row>
    <row r="9" spans="1:3" x14ac:dyDescent="0.3">
      <c r="A9">
        <v>8</v>
      </c>
      <c r="B9">
        <v>7</v>
      </c>
      <c r="C9">
        <v>7</v>
      </c>
    </row>
    <row r="10" spans="1:3" x14ac:dyDescent="0.3">
      <c r="A10">
        <v>9</v>
      </c>
      <c r="B10">
        <v>9</v>
      </c>
      <c r="C10">
        <v>7</v>
      </c>
    </row>
    <row r="11" spans="1:3" x14ac:dyDescent="0.3">
      <c r="A11">
        <v>10</v>
      </c>
      <c r="B11">
        <v>9</v>
      </c>
      <c r="C11">
        <v>5</v>
      </c>
    </row>
    <row r="12" spans="1:3" x14ac:dyDescent="0.3">
      <c r="A12">
        <v>11</v>
      </c>
      <c r="B12">
        <v>9</v>
      </c>
      <c r="C12">
        <v>3</v>
      </c>
    </row>
    <row r="13" spans="1:3" x14ac:dyDescent="0.3">
      <c r="A13">
        <v>12</v>
      </c>
      <c r="B13">
        <v>9</v>
      </c>
      <c r="C1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Tabelle1</vt:lpstr>
      <vt:lpstr>Tabelle2</vt:lpstr>
      <vt:lpstr>Distanzmetrik</vt:lpstr>
      <vt:lpstr>Stationsnummer</vt:lpstr>
      <vt:lpstr>Auftragsspanne</vt:lpstr>
      <vt:lpstr>Stationsposition</vt:lpstr>
    </vt:vector>
  </TitlesOfParts>
  <Company>Duale Hochschule Baden Wuerttemberg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Teifel, Jens</dc:creator>
  <cp:lastModifiedBy>Teifel, Jens</cp:lastModifiedBy>
  <dcterms:created xsi:type="dcterms:W3CDTF">2025-06-27T09:33:13Z</dcterms:created>
  <dcterms:modified xsi:type="dcterms:W3CDTF">2025-07-07T07:51:36Z</dcterms:modified>
</cp:coreProperties>
</file>